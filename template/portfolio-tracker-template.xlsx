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Jan26" sheetId="2" state="visible" r:id="rId2"/>
    <sheet name="Trade Journal" sheetId="3" state="visible" r:id="rId3"/>
    <sheet name="_costbasis_Jan26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$#,##0;-$#,##0"/>
    <numFmt numFmtId="166" formatCode="0%;-0%"/>
    <numFmt numFmtId="167" formatCode="0.####"/>
    <numFmt numFmtId="168" formatCode="yyyy-mm-dd"/>
    <numFmt numFmtId="169" formatCode="M/d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E0E3"/>
      </patternFill>
    </fill>
    <fill>
      <patternFill patternType="solid">
        <fgColor rgb="00EA9999"/>
      </patternFill>
    </fill>
    <fill>
      <patternFill patternType="solid">
        <fgColor rgb="00B6D7A8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169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Portfolio Tracker — Template</t>
        </is>
      </c>
    </row>
    <row r="2">
      <c r="A2" s="2" t="inlineStr"/>
    </row>
    <row r="3">
      <c r="A3" s="1" t="inlineStr">
        <is>
          <t>QUICK START</t>
        </is>
      </c>
    </row>
    <row r="4">
      <c r="A4" s="2" t="inlineStr">
        <is>
          <t>1. Upload this file to Google Drive and open with Google Sheets (File &gt; Save as Google Sheets).</t>
        </is>
      </c>
    </row>
    <row r="5">
      <c r="A5" s="2" t="inlineStr">
        <is>
          <t>2. Open Extensions &gt; Apps Script. Paste the repo's src/Code.gs into Code.gs.</t>
        </is>
      </c>
    </row>
    <row r="6">
      <c r="A6" s="2" t="inlineStr">
        <is>
          <t>3. Add a second script file named TradeJournal and paste in src/TradeJournal.gs. Save.</t>
        </is>
      </c>
    </row>
    <row r="7">
      <c r="A7" s="2" t="inlineStr">
        <is>
          <t>4. Reload the spreadsheet. Two menus appear: "Holdings" and "Trade Journal".</t>
        </is>
      </c>
    </row>
    <row r="8">
      <c r="A8" s="2" t="inlineStr">
        <is>
          <t>5. Get an API key at console.anthropic.com, then: Holdings &gt; Settings &gt; Set Anthropic API Key.</t>
        </is>
      </c>
    </row>
    <row r="9">
      <c r="A9" s="2" t="inlineStr">
        <is>
          <t>6. On the Jan26 tab, try Holdings &gt; Update Account(s)... and paste a broker positions export.</t>
        </is>
      </c>
    </row>
    <row r="10">
      <c r="A10" s="2" t="inlineStr"/>
    </row>
    <row r="11">
      <c r="A11" s="1" t="inlineStr">
        <is>
          <t>WHAT TO EDIT (everything else is computed by the scripts)</t>
        </is>
      </c>
    </row>
    <row r="12">
      <c r="A12" s="2" t="inlineStr">
        <is>
          <t>- Jan26 tab, row 1, columns F-H: rename the account columns to YOUR brokerage/account names.</t>
        </is>
      </c>
    </row>
    <row r="13">
      <c r="A13" s="2" t="inlineStr">
        <is>
          <t>- Rename or add section rows (colored rows) to your own categories via Holdings &gt; Add Section...</t>
        </is>
      </c>
    </row>
    <row r="14">
      <c r="A14" s="2" t="inlineStr">
        <is>
          <t>- The positions below each section are fictional EXAMPLES showing the expected format - delete them once you've imported your own.</t>
        </is>
      </c>
    </row>
    <row r="15">
      <c r="A15" s="2" t="inlineStr">
        <is>
          <t>- Holdings tabs must be named like Jan26 / Feb26 (MMMyy). Use Holdings &gt; Start New Month... to roll forward.</t>
        </is>
      </c>
    </row>
    <row r="16">
      <c r="A16" s="2" t="inlineStr"/>
    </row>
    <row r="17">
      <c r="A17" s="1" t="inlineStr">
        <is>
          <t>NOTES</t>
        </is>
      </c>
    </row>
    <row r="18">
      <c r="A18" s="2" t="inlineStr">
        <is>
          <t>- Columns C, D, E and the Total columns are script-maintained. Don't type over them; run Holdings &gt; Recalc Formulas instead.</t>
        </is>
      </c>
    </row>
    <row r="19">
      <c r="A19" s="2" t="inlineStr">
        <is>
          <t>- Cost basis per account lives in a hidden helper tab (_costbasis_Jan26). View it via Holdings &gt; Settings &gt; Show Helper Sheet.</t>
        </is>
      </c>
    </row>
    <row r="20">
      <c r="A20" s="2" t="inlineStr">
        <is>
          <t>- Your API key is stored in Apps Script Script Properties, never in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2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Stock/Option Entity</t>
        </is>
      </c>
      <c r="B1" s="1" t="inlineStr">
        <is>
          <t>Price</t>
        </is>
      </c>
      <c r="C1" s="1" t="inlineStr">
        <is>
          <t>Average Cost</t>
        </is>
      </c>
      <c r="D1" s="1" t="inlineStr">
        <is>
          <t>Gain/Loss $</t>
        </is>
      </c>
      <c r="E1" s="1" t="inlineStr">
        <is>
          <t>Gain/Loss %</t>
        </is>
      </c>
      <c r="F1" s="1" t="inlineStr">
        <is>
          <t>Brokerage 1</t>
        </is>
      </c>
      <c r="G1" s="1" t="inlineStr">
        <is>
          <t>Roth IRA</t>
        </is>
      </c>
      <c r="H1" s="1" t="inlineStr">
        <is>
          <t>Brokerage 2</t>
        </is>
      </c>
    </row>
    <row r="2">
      <c r="A2" s="3" t="inlineStr">
        <is>
          <t>Technology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2" t="inlineStr">
        <is>
          <t>AAPL</t>
        </is>
      </c>
      <c r="B3" s="4" t="n">
        <v>230.5</v>
      </c>
      <c r="C3" s="4" t="n">
        <v>190.25</v>
      </c>
      <c r="D3" s="5">
        <f>IFERROR(IF(C3="","",(B3-C3)*SUM(F3:H3)),"")</f>
        <v/>
      </c>
      <c r="E3" s="6">
        <f>IFERROR(IF(C3="","",(B3-C3)/C3),"")</f>
        <v/>
      </c>
      <c r="F3" s="7" t="n">
        <v>50</v>
      </c>
    </row>
    <row r="4">
      <c r="A4" s="2" t="inlineStr">
        <is>
          <t>NVDA</t>
        </is>
      </c>
      <c r="B4" s="4" t="n">
        <v>132.4</v>
      </c>
      <c r="C4" s="4" t="n">
        <v>95.8</v>
      </c>
      <c r="D4" s="5">
        <f>IFERROR(IF(C4="","",(B4-C4)*SUM(F4:H4)),"")</f>
        <v/>
      </c>
      <c r="E4" s="6">
        <f>IFERROR(IF(C4="","",(B4-C4)/C4),"")</f>
        <v/>
      </c>
      <c r="G4" s="7" t="n">
        <v>100</v>
      </c>
    </row>
    <row r="6">
      <c r="A6" s="8" t="inlineStr">
        <is>
          <t>Healthcare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JNJ</t>
        </is>
      </c>
      <c r="B7" s="4" t="n">
        <v>155.2</v>
      </c>
      <c r="C7" s="4" t="n">
        <v>140</v>
      </c>
      <c r="D7" s="5">
        <f>IFERROR(IF(C7="","",(B7-C7)*SUM(F7:H7)),"")</f>
        <v/>
      </c>
      <c r="E7" s="6">
        <f>IFERROR(IF(C7="","",(B7-C7)/C7),"")</f>
        <v/>
      </c>
      <c r="F7" s="7" t="n">
        <v>40</v>
      </c>
    </row>
    <row r="9">
      <c r="A9" s="9" t="inlineStr">
        <is>
          <t>Energy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XLE</t>
        </is>
      </c>
      <c r="B10" s="4" t="n">
        <v>92.15000000000001</v>
      </c>
      <c r="C10" s="4" t="n">
        <v>80.5</v>
      </c>
      <c r="D10" s="5">
        <f>IFERROR(IF(C10="","",(B10-C10)*SUM(F10:H10)),"")</f>
        <v/>
      </c>
      <c r="E10" s="6">
        <f>IFERROR(IF(C10="","",(B10-C10)/C10),"")</f>
        <v/>
      </c>
      <c r="H10" s="7" t="n">
        <v>60</v>
      </c>
    </row>
    <row r="12">
      <c r="A12" s="10" t="inlineStr">
        <is>
          <t>Index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2" t="inlineStr">
        <is>
          <t>SPY</t>
        </is>
      </c>
      <c r="B13" s="4" t="n">
        <v>561</v>
      </c>
      <c r="C13" s="4" t="n">
        <v>480</v>
      </c>
      <c r="D13" s="5">
        <f>IFERROR(IF(C13="","",(B13-C13)*SUM(F13:H13)),"")</f>
        <v/>
      </c>
      <c r="E13" s="6">
        <f>IFERROR(IF(C13="","",(B13-C13)/C13),"")</f>
        <v/>
      </c>
      <c r="G13" s="7" t="n">
        <v>20</v>
      </c>
    </row>
    <row r="15">
      <c r="A15" s="11" t="inlineStr">
        <is>
          <t>Puts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" t="inlineStr">
        <is>
          <t>SPY 6/18/27 450P</t>
        </is>
      </c>
      <c r="B16" s="4" t="n">
        <v>8.4</v>
      </c>
      <c r="C16" s="4" t="n">
        <v>10.1</v>
      </c>
      <c r="D16" s="5">
        <f>IFERROR(IF(C16="","",(B16-C16)*SUM(F16:H16)),"")</f>
        <v/>
      </c>
      <c r="E16" s="6">
        <f>IFERROR(IF(C16="","",(B16-C16)/C16),"")</f>
        <v/>
      </c>
      <c r="F16" s="7" t="n">
        <v>100</v>
      </c>
    </row>
    <row r="18">
      <c r="A18" s="12" t="inlineStr">
        <is>
          <t>Liquid</t>
        </is>
      </c>
      <c r="B18" s="12" t="n"/>
      <c r="C18" s="12" t="n"/>
      <c r="D18" s="12" t="n"/>
      <c r="E18" s="12" t="n"/>
      <c r="F18" s="12" t="n"/>
      <c r="G18" s="12" t="n"/>
      <c r="H18" s="12" t="n"/>
    </row>
    <row r="19">
      <c r="A19" s="2" t="inlineStr">
        <is>
          <t>CASH</t>
        </is>
      </c>
      <c r="B19" s="4" t="n">
        <v>1</v>
      </c>
      <c r="C19" s="4" t="n">
        <v>1</v>
      </c>
      <c r="D19" s="5">
        <f>IFERROR(IF(C19="","",(B19-C19)*SUM(F19:H19)),"")</f>
        <v/>
      </c>
      <c r="E19" s="6">
        <f>IFERROR(IF(C19="","",(B19-C19)/C19),"")</f>
        <v/>
      </c>
      <c r="F19" s="7" t="n">
        <v>25000</v>
      </c>
    </row>
    <row r="20">
      <c r="A20" s="2" t="inlineStr">
        <is>
          <t>BIL</t>
        </is>
      </c>
      <c r="B20" s="4" t="n">
        <v>91.7</v>
      </c>
      <c r="C20" s="4" t="n">
        <v>91.55</v>
      </c>
      <c r="D20" s="5">
        <f>IFERROR(IF(C20="","",(B20-C20)*SUM(F20:H20)),"")</f>
        <v/>
      </c>
      <c r="E20" s="6">
        <f>IFERROR(IF(C20="","",(B20-C20)/C20),"")</f>
        <v/>
      </c>
      <c r="G20" s="7" t="n">
        <v>30</v>
      </c>
    </row>
    <row r="22">
      <c r="A22" s="13" t="inlineStr">
        <is>
          <t>Crypto</t>
        </is>
      </c>
      <c r="B22" s="13" t="n"/>
      <c r="C22" s="13" t="n"/>
      <c r="D22" s="13" t="n"/>
      <c r="E22" s="13" t="n"/>
      <c r="F22" s="13" t="n"/>
      <c r="G22" s="13" t="n"/>
      <c r="H22" s="13" t="n"/>
    </row>
    <row r="23">
      <c r="A23" s="2" t="inlineStr">
        <is>
          <t>IBIT</t>
        </is>
      </c>
      <c r="B23" s="4" t="n">
        <v>61.3</v>
      </c>
      <c r="C23" s="4" t="n">
        <v>45.1</v>
      </c>
      <c r="D23" s="5">
        <f>IFERROR(IF(C23="","",(B23-C23)*SUM(F23:H23)),"")</f>
        <v/>
      </c>
      <c r="E23" s="6">
        <f>IFERROR(IF(C23="","",(B23-C23)/C23),"")</f>
        <v/>
      </c>
      <c r="H23" s="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6" customWidth="1" min="15" max="15"/>
    <col width="36" customWidth="1" min="16" max="16"/>
  </cols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Account</t>
        </is>
      </c>
      <c r="D1" s="1" t="inlineStr">
        <is>
          <t>Open Date</t>
        </is>
      </c>
      <c r="E1" s="1" t="inlineStr">
        <is>
          <t>Close Date</t>
        </is>
      </c>
      <c r="F1" s="1" t="inlineStr">
        <is>
          <t>Qty</t>
        </is>
      </c>
      <c r="G1" s="1" t="inlineStr">
        <is>
          <t>Open Price</t>
        </is>
      </c>
      <c r="H1" s="1" t="inlineStr">
        <is>
          <t>Close Price</t>
        </is>
      </c>
      <c r="I1" s="1" t="inlineStr">
        <is>
          <t>Cost Basis $</t>
        </is>
      </c>
      <c r="J1" s="1" t="inlineStr">
        <is>
          <t>Proceeds $</t>
        </is>
      </c>
      <c r="K1" s="1" t="inlineStr">
        <is>
          <t>Realized P&amp;L $</t>
        </is>
      </c>
      <c r="L1" s="1" t="inlineStr">
        <is>
          <t>Realized P&amp;L %</t>
        </is>
      </c>
      <c r="M1" s="1" t="inlineStr">
        <is>
          <t>Hold Days</t>
        </is>
      </c>
      <c r="N1" s="1" t="inlineStr">
        <is>
          <t>Term</t>
        </is>
      </c>
      <c r="O1" s="1" t="inlineStr">
        <is>
          <t>Thesis (entry reason)</t>
        </is>
      </c>
      <c r="P1" s="1" t="inlineStr">
        <is>
          <t>Exit Notes / Lesson</t>
        </is>
      </c>
    </row>
    <row r="2">
      <c r="A2" s="2" t="inlineStr">
        <is>
          <t>J0001</t>
        </is>
      </c>
      <c r="B2" s="2" t="inlineStr">
        <is>
          <t>MSFT</t>
        </is>
      </c>
      <c r="C2" s="2" t="inlineStr">
        <is>
          <t>Brokerage 1</t>
        </is>
      </c>
      <c r="D2" s="14" t="n">
        <v>45964</v>
      </c>
      <c r="E2" s="14" t="n">
        <v>46031</v>
      </c>
      <c r="F2" s="2" t="n">
        <v>25</v>
      </c>
      <c r="G2" s="4" t="n">
        <v>415</v>
      </c>
      <c r="H2" s="4" t="n">
        <v>448.5</v>
      </c>
      <c r="I2" s="4">
        <f>IFERROR(F2*G2,"")</f>
        <v/>
      </c>
      <c r="J2" s="4">
        <f>IFERROR(F2*H2,"")</f>
        <v/>
      </c>
      <c r="K2" s="15">
        <f>IFERROR(J2-I2,"")</f>
        <v/>
      </c>
      <c r="L2" s="16">
        <f>IFERROR(K2/I2,"")</f>
        <v/>
      </c>
      <c r="M2" s="17">
        <f>IFERROR(E2-D2,"")</f>
        <v/>
      </c>
      <c r="N2" s="2">
        <f>IFERROR(IF(M2&gt;=365,"Long","Short"),"")</f>
        <v/>
      </c>
      <c r="O2" s="2" t="inlineStr">
        <is>
          <t>Cloud growth thesis into earnings</t>
        </is>
      </c>
      <c r="P2" s="2" t="inlineStr">
        <is>
          <t>Took profit after the earnings pop</t>
        </is>
      </c>
    </row>
    <row r="3">
      <c r="A3" s="2" t="inlineStr">
        <is>
          <t>J0002</t>
        </is>
      </c>
      <c r="B3" s="2" t="inlineStr">
        <is>
          <t>XOM</t>
        </is>
      </c>
      <c r="C3" s="2" t="inlineStr">
        <is>
          <t>Roth IRA</t>
        </is>
      </c>
      <c r="D3" s="14" t="n">
        <v>45824</v>
      </c>
      <c r="E3" s="14" t="n">
        <v>46027</v>
      </c>
      <c r="F3" s="2" t="n">
        <v>60</v>
      </c>
      <c r="G3" s="4" t="n">
        <v>108.2</v>
      </c>
      <c r="H3" s="4" t="n">
        <v>101.75</v>
      </c>
      <c r="I3" s="4">
        <f>IFERROR(F3*G3,"")</f>
        <v/>
      </c>
      <c r="J3" s="4">
        <f>IFERROR(F3*H3,"")</f>
        <v/>
      </c>
      <c r="K3" s="15">
        <f>IFERROR(J3-I3,"")</f>
        <v/>
      </c>
      <c r="L3" s="16">
        <f>IFERROR(K3/I3,"")</f>
        <v/>
      </c>
      <c r="M3" s="17">
        <f>IFERROR(E3-D3,"")</f>
        <v/>
      </c>
      <c r="N3" s="2">
        <f>IFERROR(IF(M3&gt;=365,"Long","Short"),"")</f>
        <v/>
      </c>
      <c r="O3" s="2" t="inlineStr">
        <is>
          <t>Dividend + crude upside</t>
        </is>
      </c>
      <c r="P3" s="2" t="inlineStr">
        <is>
          <t>Stopped out; lesson: size energy smaller</t>
        </is>
      </c>
    </row>
    <row r="4">
      <c r="A4" s="2" t="inlineStr">
        <is>
          <t>J0003</t>
        </is>
      </c>
      <c r="B4" s="2" t="inlineStr">
        <is>
          <t>QQQ 1/16/26 500C</t>
        </is>
      </c>
      <c r="C4" s="2" t="inlineStr">
        <is>
          <t>Brokerage 1</t>
        </is>
      </c>
      <c r="D4" s="14" t="n">
        <v>45992</v>
      </c>
      <c r="E4" s="14" t="n">
        <v>46034</v>
      </c>
      <c r="F4" s="2" t="n">
        <v>2</v>
      </c>
      <c r="G4" s="4" t="n">
        <v>6.1</v>
      </c>
      <c r="H4" s="4" t="n">
        <v>11.8</v>
      </c>
      <c r="I4" s="4">
        <f>IFERROR(F4*G4,"")</f>
        <v/>
      </c>
      <c r="J4" s="4">
        <f>IFERROR(F4*H4,"")</f>
        <v/>
      </c>
      <c r="K4" s="15">
        <f>IFERROR(J4-I4,"")</f>
        <v/>
      </c>
      <c r="L4" s="16">
        <f>IFERROR(K4/I4,"")</f>
        <v/>
      </c>
      <c r="M4" s="17">
        <f>IFERROR(E4-D4,"")</f>
        <v/>
      </c>
      <c r="N4" s="2">
        <f>IFERROR(IF(M4&gt;=365,"Long","Short"),"")</f>
        <v/>
      </c>
      <c r="O4" s="2" t="inlineStr">
        <is>
          <t>Year-end rally lotto</t>
        </is>
      </c>
      <c r="P4" s="2" t="inlineStr">
        <is>
          <t>Sold into strength before expiry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Ticker</t>
        </is>
      </c>
      <c r="F1" s="1" t="inlineStr">
        <is>
          <t>Brokerage 1</t>
        </is>
      </c>
      <c r="G1" s="1" t="inlineStr">
        <is>
          <t>Roth IRA</t>
        </is>
      </c>
      <c r="H1" s="1" t="inlineStr">
        <is>
          <t>Brokerage 2</t>
        </is>
      </c>
    </row>
    <row r="2">
      <c r="A2" s="2" t="inlineStr">
        <is>
          <t>AAPL</t>
        </is>
      </c>
      <c r="F2" s="4" t="n">
        <v>190.25</v>
      </c>
    </row>
    <row r="3">
      <c r="A3" s="2" t="inlineStr">
        <is>
          <t>NVDA</t>
        </is>
      </c>
      <c r="G3" s="4" t="n">
        <v>95.8</v>
      </c>
    </row>
    <row r="4">
      <c r="A4" s="2" t="inlineStr">
        <is>
          <t>JNJ</t>
        </is>
      </c>
      <c r="F4" s="4" t="n">
        <v>140</v>
      </c>
    </row>
    <row r="5">
      <c r="A5" s="2" t="inlineStr">
        <is>
          <t>XLE</t>
        </is>
      </c>
      <c r="H5" s="4" t="n">
        <v>80.5</v>
      </c>
    </row>
    <row r="6">
      <c r="A6" s="2" t="inlineStr">
        <is>
          <t>SPY</t>
        </is>
      </c>
      <c r="G6" s="4" t="n">
        <v>480</v>
      </c>
    </row>
    <row r="7">
      <c r="A7" s="2" t="inlineStr">
        <is>
          <t>SPY 6/18/27 450P</t>
        </is>
      </c>
      <c r="F7" s="4" t="n">
        <v>10.1</v>
      </c>
    </row>
    <row r="8">
      <c r="A8" s="2" t="inlineStr">
        <is>
          <t>CASH</t>
        </is>
      </c>
      <c r="F8" s="4" t="n">
        <v>1</v>
      </c>
    </row>
    <row r="9">
      <c r="A9" s="2" t="inlineStr">
        <is>
          <t>BIL</t>
        </is>
      </c>
      <c r="G9" s="4" t="n">
        <v>91.55</v>
      </c>
    </row>
    <row r="10">
      <c r="A10" s="2" t="inlineStr">
        <is>
          <t>IBIT</t>
        </is>
      </c>
      <c r="H10" s="4" t="n">
        <v>45.1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2026-07-14T22:20:46Z</dcterms:created>
  <dcterms:modified xsi:type="dcterms:W3CDTF">2026-07-14T22:20:46Z</dcterms:modified>
</cp:coreProperties>
</file>